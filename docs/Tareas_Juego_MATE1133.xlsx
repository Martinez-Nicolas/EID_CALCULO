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s juego" sheetId="1" r:id="rId5"/>
  </sheets>
  <definedNames/>
  <calcPr/>
</workbook>
</file>

<file path=xl/sharedStrings.xml><?xml version="1.0" encoding="utf-8"?>
<sst xmlns="http://schemas.openxmlformats.org/spreadsheetml/2006/main" count="88" uniqueCount="58">
  <si>
    <t>Juego arcade MATE1133 (EID N°1) · Control de tareas</t>
  </si>
  <si>
    <t>Entrega: domingo 25 de octubre de 2026, 17:00 hrs (código + video de defensa)</t>
  </si>
  <si>
    <t>N°</t>
  </si>
  <si>
    <t>Tarea</t>
  </si>
  <si>
    <t>Responsable</t>
  </si>
  <si>
    <t>Fecha límite</t>
  </si>
  <si>
    <t>Estado</t>
  </si>
  <si>
    <t>Notas</t>
  </si>
  <si>
    <t>Ventana de pygame, bucle principal, config.py y límites del mapa</t>
  </si>
  <si>
    <t>Nico</t>
  </si>
  <si>
    <t>Listo</t>
  </si>
  <si>
    <t>Los enemigos no pueden salir del mapa</t>
  </si>
  <si>
    <t>Nave con movimiento por flechas y vida</t>
  </si>
  <si>
    <t>Martin</t>
  </si>
  <si>
    <t>Solo flechas; la vida depende del enemigo que choca</t>
  </si>
  <si>
    <t>Munición básica (sin límite)</t>
  </si>
  <si>
    <t>Trayectoria recta, disparo continuo</t>
  </si>
  <si>
    <t>Enemigos 1 y 2: diseño propio y ecuación sinusoidal propia</t>
  </si>
  <si>
    <t>xelo</t>
  </si>
  <si>
    <t>A·sen(Bx+C)+D distinta en cada enemigo, escrita en el código</t>
  </si>
  <si>
    <t>Oleadas 1, 2, 3 y jefe final</t>
  </si>
  <si>
    <t>Oleada 1: tipo 1 · Oleada 2: tipos 1 y 2 · Oleada 3: tipos 1, 2 y 3</t>
  </si>
  <si>
    <t>Munición parabólica con cooldown o cantidad limitada</t>
  </si>
  <si>
    <t>Elegir la orientación de la parábola</t>
  </si>
  <si>
    <t>Enemigo 3 y jefe final: diseño y ecuación propios</t>
  </si>
  <si>
    <t>Diseños distintos en forma, tamaño o estructura, no solo color</t>
  </si>
  <si>
    <t>Munición de otra cónica (elipse, hipérbola o circunferencia)</t>
  </si>
  <si>
    <t>Con cooldown o cantidad limitada</t>
  </si>
  <si>
    <t>Vida de cada enemigo según la munición que lo impacta</t>
  </si>
  <si>
    <t>Las municiones complejas hacen más daño</t>
  </si>
  <si>
    <t>Colisiones, vida de la nave y daño por tipo de enemigo</t>
  </si>
  <si>
    <t>El jefe es el más letal; enemigos no se eliminan entre ellos</t>
  </si>
  <si>
    <t>Integración y balance de daños</t>
  </si>
  <si>
    <t>Los 3</t>
  </si>
  <si>
    <t>En revisión</t>
  </si>
  <si>
    <t>Jerarquía clara entre enemigos, municiones y jefe</t>
  </si>
  <si>
    <t>Revisión final del código</t>
  </si>
  <si>
    <t>Sin comentarios ni docstrings; solo pygame, math y random; sin errores</t>
  </si>
  <si>
    <t>Eliminar README.md del repositorio</t>
  </si>
  <si>
    <t>Por hacer</t>
  </si>
  <si>
    <t>Antes de grabar el video y de entregar</t>
  </si>
  <si>
    <t>Repaso de la matemática de todo el juego</t>
  </si>
  <si>
    <t>Cada uno debe poder explicar cualquier parte</t>
  </si>
  <si>
    <t>Ensayo y grabación de la defensa en video</t>
  </si>
  <si>
    <t>Sin cortes ni ediciones; todos con cámara y nombre completo</t>
  </si>
  <si>
    <t>Subir el video con permisos de acceso y verificar que se vea</t>
  </si>
  <si>
    <t>Si no se puede ver, cuenta como no entregado</t>
  </si>
  <si>
    <t>Entregar código y video</t>
  </si>
  <si>
    <t>Antes de las 17:00</t>
  </si>
  <si>
    <t>Resumen de avance</t>
  </si>
  <si>
    <t>En progreso</t>
  </si>
  <si>
    <t>Total de tareas</t>
  </si>
  <si>
    <t>% completado</t>
  </si>
  <si>
    <t>Cómo usar esta planilla</t>
  </si>
  <si>
    <t>Cambia solo la columna Estado (lista desplegable) a medida que avanzan.</t>
  </si>
  <si>
    <t>Responsables y fechas son una propuesta; ajústenlos si el grupo decide otro reparto.</t>
  </si>
  <si>
    <t>El informe de Álgebra se entrega el 21/10; las fechas del juego lo consideran.</t>
  </si>
  <si>
    <t>El resumen de arriba se actualiza solo según los estados.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</si>
</sst>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1.0"/>
      <color theme="1"/>
      <name val="Calibri"/>
      <scheme val="minor"/>
    </font>
    <font>
      <b/>
      <sz val="14.0"/>
      <color rgb="FF1F3A5F"/>
      <name val="Arial"/>
    </font>
    <font>
      <i/>
      <sz val="10.0"/>
      <color rgb="FF595959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1.0"/>
      <color rgb="FF1F3A5F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left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6" numFmtId="9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DDEBF7"/>
          <bgColor rgb="FFDDEBF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56.0"/>
    <col customWidth="1" min="3" max="5" width="14.0"/>
    <col customWidth="1" min="6" max="6" width="56.0"/>
    <col customWidth="1" min="7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30.0" customHeight="1">
      <c r="A5" s="4">
        <v>1.0</v>
      </c>
      <c r="B5" s="5" t="s">
        <v>8</v>
      </c>
      <c r="C5" s="4" t="s">
        <v>9</v>
      </c>
      <c r="D5" s="6">
        <v>46309.0</v>
      </c>
      <c r="E5" s="7" t="s">
        <v>10</v>
      </c>
      <c r="F5" s="5" t="s">
        <v>11</v>
      </c>
    </row>
    <row r="6" ht="30.0" customHeight="1">
      <c r="A6" s="4">
        <v>2.0</v>
      </c>
      <c r="B6" s="5" t="s">
        <v>12</v>
      </c>
      <c r="C6" s="4" t="s">
        <v>13</v>
      </c>
      <c r="D6" s="6">
        <v>46311.0</v>
      </c>
      <c r="E6" s="7" t="s">
        <v>10</v>
      </c>
      <c r="F6" s="5" t="s">
        <v>14</v>
      </c>
    </row>
    <row r="7" ht="30.0" customHeight="1">
      <c r="A7" s="4">
        <v>3.0</v>
      </c>
      <c r="B7" s="5" t="s">
        <v>15</v>
      </c>
      <c r="C7" s="4" t="s">
        <v>13</v>
      </c>
      <c r="D7" s="6">
        <v>46311.0</v>
      </c>
      <c r="E7" s="7" t="s">
        <v>10</v>
      </c>
      <c r="F7" s="5" t="s">
        <v>16</v>
      </c>
    </row>
    <row r="8" ht="30.0" customHeight="1">
      <c r="A8" s="4">
        <v>4.0</v>
      </c>
      <c r="B8" s="5" t="s">
        <v>17</v>
      </c>
      <c r="C8" s="4" t="s">
        <v>18</v>
      </c>
      <c r="D8" s="6">
        <v>46311.0</v>
      </c>
      <c r="E8" s="7" t="s">
        <v>10</v>
      </c>
      <c r="F8" s="5" t="s">
        <v>19</v>
      </c>
    </row>
    <row r="9" ht="30.0" customHeight="1">
      <c r="A9" s="4">
        <v>5.0</v>
      </c>
      <c r="B9" s="5" t="s">
        <v>20</v>
      </c>
      <c r="C9" s="4" t="s">
        <v>9</v>
      </c>
      <c r="D9" s="6">
        <v>46313.0</v>
      </c>
      <c r="E9" s="7" t="s">
        <v>10</v>
      </c>
      <c r="F9" s="5" t="s">
        <v>21</v>
      </c>
    </row>
    <row r="10" ht="30.0" customHeight="1">
      <c r="A10" s="4">
        <v>6.0</v>
      </c>
      <c r="B10" s="5" t="s">
        <v>22</v>
      </c>
      <c r="C10" s="4" t="s">
        <v>13</v>
      </c>
      <c r="D10" s="6">
        <v>46313.0</v>
      </c>
      <c r="E10" s="7" t="s">
        <v>10</v>
      </c>
      <c r="F10" s="5" t="s">
        <v>23</v>
      </c>
    </row>
    <row r="11" ht="30.0" customHeight="1">
      <c r="A11" s="4">
        <v>7.0</v>
      </c>
      <c r="B11" s="5" t="s">
        <v>24</v>
      </c>
      <c r="C11" s="4" t="s">
        <v>18</v>
      </c>
      <c r="D11" s="6">
        <v>46313.0</v>
      </c>
      <c r="E11" s="7" t="s">
        <v>10</v>
      </c>
      <c r="F11" s="5" t="s">
        <v>25</v>
      </c>
    </row>
    <row r="12" ht="30.0" customHeight="1">
      <c r="A12" s="4">
        <v>8.0</v>
      </c>
      <c r="B12" s="5" t="s">
        <v>26</v>
      </c>
      <c r="C12" s="4" t="s">
        <v>9</v>
      </c>
      <c r="D12" s="6">
        <v>46314.0</v>
      </c>
      <c r="E12" s="7" t="s">
        <v>10</v>
      </c>
      <c r="F12" s="5" t="s">
        <v>27</v>
      </c>
    </row>
    <row r="13" ht="30.0" customHeight="1">
      <c r="A13" s="4">
        <v>9.0</v>
      </c>
      <c r="B13" s="5" t="s">
        <v>28</v>
      </c>
      <c r="C13" s="4" t="s">
        <v>18</v>
      </c>
      <c r="D13" s="6">
        <v>46314.0</v>
      </c>
      <c r="E13" s="7" t="s">
        <v>10</v>
      </c>
      <c r="F13" s="5" t="s">
        <v>29</v>
      </c>
    </row>
    <row r="14" ht="30.0" customHeight="1">
      <c r="A14" s="4">
        <v>10.0</v>
      </c>
      <c r="B14" s="5" t="s">
        <v>30</v>
      </c>
      <c r="C14" s="4" t="s">
        <v>9</v>
      </c>
      <c r="D14" s="6">
        <v>46315.0</v>
      </c>
      <c r="E14" s="7" t="s">
        <v>10</v>
      </c>
      <c r="F14" s="5" t="s">
        <v>31</v>
      </c>
    </row>
    <row r="15" ht="30.0" customHeight="1">
      <c r="A15" s="4">
        <v>11.0</v>
      </c>
      <c r="B15" s="5" t="s">
        <v>32</v>
      </c>
      <c r="C15" s="4" t="s">
        <v>33</v>
      </c>
      <c r="D15" s="6">
        <v>46317.0</v>
      </c>
      <c r="E15" s="7" t="s">
        <v>34</v>
      </c>
      <c r="F15" s="5" t="s">
        <v>35</v>
      </c>
    </row>
    <row r="16" ht="30.0" customHeight="1">
      <c r="A16" s="4">
        <v>12.0</v>
      </c>
      <c r="B16" s="5" t="s">
        <v>36</v>
      </c>
      <c r="C16" s="4" t="s">
        <v>33</v>
      </c>
      <c r="D16" s="6">
        <v>46318.0</v>
      </c>
      <c r="E16" s="7" t="s">
        <v>34</v>
      </c>
      <c r="F16" s="5" t="s">
        <v>37</v>
      </c>
    </row>
    <row r="17" ht="30.0" customHeight="1">
      <c r="A17" s="4">
        <v>13.0</v>
      </c>
      <c r="B17" s="5" t="s">
        <v>38</v>
      </c>
      <c r="C17" s="4" t="s">
        <v>9</v>
      </c>
      <c r="D17" s="6">
        <v>46318.0</v>
      </c>
      <c r="E17" s="4" t="s">
        <v>39</v>
      </c>
      <c r="F17" s="5" t="s">
        <v>40</v>
      </c>
    </row>
    <row r="18" ht="30.0" customHeight="1">
      <c r="A18" s="4">
        <v>14.0</v>
      </c>
      <c r="B18" s="5" t="s">
        <v>41</v>
      </c>
      <c r="C18" s="4" t="s">
        <v>33</v>
      </c>
      <c r="D18" s="6">
        <v>46318.0</v>
      </c>
      <c r="E18" s="4" t="s">
        <v>39</v>
      </c>
      <c r="F18" s="5" t="s">
        <v>42</v>
      </c>
    </row>
    <row r="19" ht="30.0" customHeight="1">
      <c r="A19" s="4">
        <v>15.0</v>
      </c>
      <c r="B19" s="5" t="s">
        <v>43</v>
      </c>
      <c r="C19" s="4" t="s">
        <v>33</v>
      </c>
      <c r="D19" s="6">
        <v>46319.0</v>
      </c>
      <c r="E19" s="4" t="s">
        <v>39</v>
      </c>
      <c r="F19" s="5" t="s">
        <v>44</v>
      </c>
    </row>
    <row r="20" ht="30.0" customHeight="1">
      <c r="A20" s="4">
        <v>16.0</v>
      </c>
      <c r="B20" s="5" t="s">
        <v>45</v>
      </c>
      <c r="C20" s="4" t="s">
        <v>9</v>
      </c>
      <c r="D20" s="6">
        <v>46319.0</v>
      </c>
      <c r="E20" s="4" t="s">
        <v>39</v>
      </c>
      <c r="F20" s="5" t="s">
        <v>46</v>
      </c>
    </row>
    <row r="21" ht="30.0" customHeight="1">
      <c r="A21" s="4">
        <v>17.0</v>
      </c>
      <c r="B21" s="5" t="s">
        <v>47</v>
      </c>
      <c r="C21" s="4" t="s">
        <v>9</v>
      </c>
      <c r="D21" s="6">
        <v>46320.0</v>
      </c>
      <c r="E21" s="4" t="s">
        <v>39</v>
      </c>
      <c r="F21" s="5" t="s">
        <v>48</v>
      </c>
    </row>
    <row r="22" ht="15.75" customHeight="1"/>
    <row r="23" ht="15.75" customHeight="1">
      <c r="B23" s="8" t="s">
        <v>49</v>
      </c>
    </row>
    <row r="24" ht="15.75" customHeight="1">
      <c r="B24" s="9" t="s">
        <v>39</v>
      </c>
      <c r="C24" s="10">
        <f t="shared" ref="C24:C27" si="1">COUNTIF($E$5:$E$21,B24)</f>
        <v>5</v>
      </c>
    </row>
    <row r="25" ht="15.75" customHeight="1">
      <c r="B25" s="9" t="s">
        <v>50</v>
      </c>
      <c r="C25" s="10">
        <f t="shared" si="1"/>
        <v>0</v>
      </c>
    </row>
    <row r="26" ht="15.75" customHeight="1">
      <c r="B26" s="9" t="s">
        <v>34</v>
      </c>
      <c r="C26" s="10">
        <f t="shared" si="1"/>
        <v>2</v>
      </c>
    </row>
    <row r="27" ht="15.75" customHeight="1">
      <c r="B27" s="9" t="s">
        <v>10</v>
      </c>
      <c r="C27" s="10">
        <f t="shared" si="1"/>
        <v>10</v>
      </c>
    </row>
    <row r="28" ht="15.75" customHeight="1">
      <c r="B28" s="11" t="s">
        <v>51</v>
      </c>
      <c r="C28" s="12">
        <f>SUM(C24:C27)</f>
        <v>17</v>
      </c>
    </row>
    <row r="29" ht="15.75" customHeight="1">
      <c r="B29" s="11" t="s">
        <v>52</v>
      </c>
      <c r="C29" s="13">
        <f>IF(C28=0,0,C27/C28)</f>
        <v>0.5882352941</v>
      </c>
    </row>
    <row r="30" ht="15.75" customHeight="1"/>
    <row r="31" ht="15.75" customHeight="1">
      <c r="B31" s="8" t="s">
        <v>53</v>
      </c>
    </row>
    <row r="32" ht="15.75" customHeight="1">
      <c r="B32" s="2" t="s">
        <v>54</v>
      </c>
    </row>
    <row r="33" ht="15.75" customHeight="1">
      <c r="B33" s="2" t="s">
        <v>55</v>
      </c>
    </row>
    <row r="34" ht="15.75" customHeight="1">
      <c r="B34" s="2" t="s">
        <v>56</v>
      </c>
    </row>
    <row r="35" ht="15.75" customHeight="1">
      <c r="B35" s="2" t="s">
        <v>57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5:E21">
    <cfRule type="cellIs" dxfId="0" priority="1" operator="equal">
      <formula>"Listo"</formula>
    </cfRule>
  </conditionalFormatting>
  <conditionalFormatting sqref="E5:E21">
    <cfRule type="cellIs" dxfId="1" priority="2" operator="equal">
      <formula>"En progreso"</formula>
    </cfRule>
  </conditionalFormatting>
  <conditionalFormatting sqref="E5:E21">
    <cfRule type="cellIs" dxfId="2" priority="3" operator="equal">
      <formula>"En revisión"</formula>
    </cfRule>
  </conditionalFormatting>
  <dataValidations>
    <dataValidation type="list" allowBlank="1" sqref="E5:E21">
      <formula1>"Por hacer,En progreso,En revisión,Listo,Incompleto"</formula1>
    </dataValidation>
  </dataValidations>
  <printOptions/>
  <pageMargins bottom="1.0" footer="0.0" header="0.0" left="0.75" right="0.75" top="1.0"/>
  <pageSetup paperSize="9" orientation="portrait"/>
  <drawing r:id="rId1"/>
</worksheet>
</file>